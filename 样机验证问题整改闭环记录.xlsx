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motor-pm\"/>
    </mc:Choice>
  </mc:AlternateContent>
  <bookViews>
    <workbookView windowWidth="24045" windowHeight="12375"/>
  </bookViews>
  <sheets>
    <sheet name="问题台账" sheetId="1" r:id="rId1"/>
    <sheet name="分类统计" sheetId="2" r:id="rId2"/>
  </sheets>
  <definedNames>
    <definedName name="_xlnm._FilterDatabase" localSheetId="0" hidden="1">问题台账!$A$4:$T$200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<sst xmlns="http://schemas.openxmlformats.org/spreadsheetml/2006/main" count="96" uniqueCount="78">
  <si>
    <t>问题整改闭环记录（分类跟踪）</t>
  </si>
  <si>
    <r>
      <t>项目名称：＿＿＿＿＿＿＿＿　样机批次：＿＿＿＿　验证阶段：</t>
    </r>
    <r>
      <rPr>
        <sz val="10"/>
        <rFont val="Wingdings 2"/>
        <charset val="134"/>
      </rPr>
      <t>£</t>
    </r>
    <r>
      <rPr>
        <sz val="10"/>
        <rFont val="微软雅黑"/>
        <charset val="134"/>
      </rPr>
      <t xml:space="preserve">原理验证/方案验证（EVT）  </t>
    </r>
    <r>
      <rPr>
        <sz val="10"/>
        <rFont val="Wingdings 2"/>
        <charset val="134"/>
      </rPr>
      <t>£</t>
    </r>
    <r>
      <rPr>
        <sz val="10"/>
        <rFont val="微软雅黑"/>
        <charset val="134"/>
      </rPr>
      <t xml:space="preserve">设计定型/客户送样（DVT）   </t>
    </r>
    <r>
      <rPr>
        <sz val="10"/>
        <rFont val="Wingdings 2"/>
        <charset val="134"/>
      </rPr>
      <t>£</t>
    </r>
    <r>
      <rPr>
        <sz val="10"/>
        <rFont val="微软雅黑"/>
        <charset val="134"/>
      </rPr>
      <t>客户试产支持（如涉及）（PVT）       　记录人：＿＿＿＿　编制日期：＿＿＿＿</t>
    </r>
  </si>
  <si>
    <t>填写说明：每发现一个样机问题填写一行；「整改状态」为 已关闭 即完成闭环。前 3 行为示例（灰色），可删除后录入实际数据。</t>
  </si>
  <si>
    <t>序号</t>
  </si>
  <si>
    <t>问题分类</t>
  </si>
  <si>
    <t>问题等级</t>
  </si>
  <si>
    <t>样机编号</t>
  </si>
  <si>
    <t>问题发生部位</t>
  </si>
  <si>
    <t>问题描述</t>
  </si>
  <si>
    <t>发现日期</t>
  </si>
  <si>
    <t>发现人</t>
  </si>
  <si>
    <t>原因分析</t>
  </si>
  <si>
    <t>整改措施</t>
  </si>
  <si>
    <t>整改责任人</t>
  </si>
  <si>
    <t>整改部门</t>
  </si>
  <si>
    <t>计划完成日期</t>
  </si>
  <si>
    <t>实际完成日期</t>
  </si>
  <si>
    <t>整改状态</t>
  </si>
  <si>
    <t>验证方式</t>
  </si>
  <si>
    <t>验证结果</t>
  </si>
  <si>
    <t>验证人</t>
  </si>
  <si>
    <t>关闭日期</t>
  </si>
  <si>
    <t>备注</t>
  </si>
  <si>
    <t>机械结构</t>
  </si>
  <si>
    <t>严重</t>
  </si>
  <si>
    <t>MVP-001</t>
  </si>
  <si>
    <t>电机端盖轴承室</t>
  </si>
  <si>
    <t>高速运转时轴承端盖处异响，温升超标（实测 92℃，限值 75℃）</t>
  </si>
  <si>
    <t>2026-08-01</t>
  </si>
  <si>
    <t>张工</t>
  </si>
  <si>
    <t>轴承游隙选型偏小，端盖止口配合过盈量不足导致轴系径向跳动</t>
  </si>
  <si>
    <t>更换 C3 游隙轴承，端盖止口过盈量由 0.01mm 调整为 0.03mm，复测配合尺寸</t>
  </si>
  <si>
    <t>李四</t>
  </si>
  <si>
    <t>机械设计部</t>
  </si>
  <si>
    <t>2026-08-10</t>
  </si>
  <si>
    <t>2026-08-08</t>
  </si>
  <si>
    <t>已关闭</t>
  </si>
  <si>
    <t>整机 8h 连续运转复测</t>
  </si>
  <si>
    <t>通过</t>
  </si>
  <si>
    <t>王工</t>
  </si>
  <si>
    <t>2026-08-12</t>
  </si>
  <si>
    <t>整改单编号 ZG-2026-001</t>
  </si>
  <si>
    <t>电气系统</t>
  </si>
  <si>
    <t>一般</t>
  </si>
  <si>
    <t>控制器 IGBT 散热器</t>
  </si>
  <si>
    <t>满载运行 30min 后 IGBT 壳体温度偏高（88℃），热设计裕量不足</t>
  </si>
  <si>
    <t>2026-08-02</t>
  </si>
  <si>
    <t>赵工</t>
  </si>
  <si>
    <t>散热器翅片面积偏小，风道风速未达设计值</t>
  </si>
  <si>
    <t>散热器加厚 30%，优化风道导流板，实测温升下降 15℃</t>
  </si>
  <si>
    <t>孙七</t>
  </si>
  <si>
    <t>电气工程部</t>
  </si>
  <si>
    <t>2026-08-15</t>
  </si>
  <si>
    <t/>
  </si>
  <si>
    <t>待验证</t>
  </si>
  <si>
    <t>满载 2h 温升复测</t>
  </si>
  <si>
    <t>更换件已到位，待复测</t>
  </si>
  <si>
    <t>软件算法</t>
  </si>
  <si>
    <t>控制器控制板</t>
  </si>
  <si>
    <t>低速大扭矩工况下偶发过流保护误动作，重启后恢复</t>
  </si>
  <si>
    <t>2026-08-03</t>
  </si>
  <si>
    <t>周工</t>
  </si>
  <si>
    <t>电流采样滤波系数偏小，低速下采样噪声被误判为过流</t>
  </si>
  <si>
    <t>优化滤波算法并增加去抖窗口，台架 200 次低速工况循环验证</t>
  </si>
  <si>
    <t>吴九</t>
  </si>
  <si>
    <t>软件部</t>
  </si>
  <si>
    <t>2026-08-18</t>
  </si>
  <si>
    <t>整改中</t>
  </si>
  <si>
    <t>代码已合入，测试中</t>
  </si>
  <si>
    <t>问题分类跟踪统计（自动计算）</t>
  </si>
  <si>
    <t>问题总数</t>
  </si>
  <si>
    <t>待整改</t>
  </si>
  <si>
    <t>关闭率</t>
  </si>
  <si>
    <t>制造工艺</t>
  </si>
  <si>
    <t>物料质量</t>
  </si>
  <si>
    <t>安全法规</t>
  </si>
  <si>
    <t>其他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</si>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</sst>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7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9"/>
      <color rgb="FF59595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Wingdings 2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"/>
  <sheetViews>
    <sheetView tabSelected="1" zoomScale="90" zoomScaleNormal="90" workbookViewId="0">
      <pane ySplit="4" topLeftCell="A5" activePane="bottomLeft" state="frozen"/>
      <selection/>
      <selection pane="bottomLeft" activeCell="F12" sqref="F12"/>
    </sheetView>
  </sheetViews>
  <sheetFormatPr defaultColWidth="9" defaultRowHeight="13.5"/>
  <cols>
    <col min="1" max="1" width="6" customWidth="1"/>
    <col min="2" max="2" width="10" customWidth="1"/>
    <col min="3" max="3" width="8" customWidth="1"/>
    <col min="4" max="4" width="10" customWidth="1"/>
    <col min="5" max="5" width="14" customWidth="1"/>
    <col min="6" max="6" width="38" customWidth="1"/>
    <col min="7" max="7" width="12" customWidth="1"/>
    <col min="8" max="8" width="9" customWidth="1"/>
    <col min="9" max="9" width="30" customWidth="1"/>
    <col min="10" max="10" width="32" customWidth="1"/>
    <col min="11" max="11" width="10" customWidth="1"/>
    <col min="12" max="14" width="12" customWidth="1"/>
    <col min="15" max="15" width="10" customWidth="1"/>
    <col min="16" max="16" width="12" customWidth="1"/>
    <col min="17" max="18" width="9" customWidth="1"/>
    <col min="19" max="19" width="12" customWidth="1"/>
    <col min="20" max="20" width="18" customWidth="1"/>
  </cols>
  <sheetData>
    <row r="1" ht="32" customHeight="1" spans="1:20">
      <c r="A1" s="1" t="s">
        <v>0</v>
      </c>
    </row>
    <row r="2" ht="30" customHeight="1" spans="1:20">
      <c r="A2" s="9" t="s">
        <v>1</v>
      </c>
    </row>
    <row r="3" ht="25" customHeight="1" spans="1:20">
      <c r="A3" s="10" t="s">
        <v>2</v>
      </c>
    </row>
    <row r="4" ht="28" customHeight="1" spans="1:20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</row>
    <row r="5" ht="33" spans="1:20">
      <c r="A5" s="11">
        <f t="shared" ref="A5:A34" si="0">ROW()-4</f>
        <v>1</v>
      </c>
      <c r="B5" s="11" t="s">
        <v>23</v>
      </c>
      <c r="C5" s="11" t="s">
        <v>24</v>
      </c>
      <c r="D5" s="11" t="s">
        <v>25</v>
      </c>
      <c r="E5" s="11" t="s">
        <v>26</v>
      </c>
      <c r="F5" s="12" t="s">
        <v>27</v>
      </c>
      <c r="G5" s="11" t="s">
        <v>28</v>
      </c>
      <c r="H5" s="11" t="s">
        <v>29</v>
      </c>
      <c r="I5" s="12" t="s">
        <v>30</v>
      </c>
      <c r="J5" s="12" t="s">
        <v>31</v>
      </c>
      <c r="K5" s="11" t="s">
        <v>32</v>
      </c>
      <c r="L5" s="11" t="s">
        <v>33</v>
      </c>
      <c r="M5" s="11" t="s">
        <v>34</v>
      </c>
      <c r="N5" s="11" t="s">
        <v>35</v>
      </c>
      <c r="O5" s="11" t="s">
        <v>36</v>
      </c>
      <c r="P5" s="12" t="s">
        <v>37</v>
      </c>
      <c r="Q5" s="11" t="s">
        <v>38</v>
      </c>
      <c r="R5" s="11" t="s">
        <v>39</v>
      </c>
      <c r="S5" s="11" t="s">
        <v>40</v>
      </c>
      <c r="T5" s="11" t="s">
        <v>41</v>
      </c>
    </row>
    <row r="6" ht="33" spans="1:20">
      <c r="A6" s="11">
        <f t="shared" si="0"/>
        <v>2</v>
      </c>
      <c r="B6" s="11" t="s">
        <v>42</v>
      </c>
      <c r="C6" s="11" t="s">
        <v>43</v>
      </c>
      <c r="D6" s="11" t="s">
        <v>25</v>
      </c>
      <c r="E6" s="11" t="s">
        <v>44</v>
      </c>
      <c r="F6" s="12" t="s">
        <v>45</v>
      </c>
      <c r="G6" s="11" t="s">
        <v>46</v>
      </c>
      <c r="H6" s="11" t="s">
        <v>47</v>
      </c>
      <c r="I6" s="12" t="s">
        <v>48</v>
      </c>
      <c r="J6" s="12" t="s">
        <v>49</v>
      </c>
      <c r="K6" s="11" t="s">
        <v>50</v>
      </c>
      <c r="L6" s="11" t="s">
        <v>51</v>
      </c>
      <c r="M6" s="11" t="s">
        <v>52</v>
      </c>
      <c r="N6" s="11" t="s">
        <v>53</v>
      </c>
      <c r="O6" s="11" t="s">
        <v>54</v>
      </c>
      <c r="P6" s="12" t="s">
        <v>55</v>
      </c>
      <c r="Q6" s="11" t="s">
        <v>53</v>
      </c>
      <c r="R6" s="11" t="s">
        <v>53</v>
      </c>
      <c r="S6" s="11" t="s">
        <v>53</v>
      </c>
      <c r="T6" s="11" t="s">
        <v>56</v>
      </c>
    </row>
    <row r="7" ht="33" spans="1:20">
      <c r="A7" s="11">
        <f t="shared" si="0"/>
        <v>3</v>
      </c>
      <c r="B7" s="11" t="s">
        <v>57</v>
      </c>
      <c r="C7" s="11" t="s">
        <v>43</v>
      </c>
      <c r="D7" s="11" t="s">
        <v>25</v>
      </c>
      <c r="E7" s="11" t="s">
        <v>58</v>
      </c>
      <c r="F7" s="12" t="s">
        <v>59</v>
      </c>
      <c r="G7" s="11" t="s">
        <v>60</v>
      </c>
      <c r="H7" s="11" t="s">
        <v>61</v>
      </c>
      <c r="I7" s="12" t="s">
        <v>62</v>
      </c>
      <c r="J7" s="12" t="s">
        <v>63</v>
      </c>
      <c r="K7" s="11" t="s">
        <v>64</v>
      </c>
      <c r="L7" s="11" t="s">
        <v>65</v>
      </c>
      <c r="M7" s="11" t="s">
        <v>66</v>
      </c>
      <c r="N7" s="11" t="s">
        <v>53</v>
      </c>
      <c r="O7" s="11" t="s">
        <v>67</v>
      </c>
      <c r="P7" s="12" t="s">
        <v>53</v>
      </c>
      <c r="Q7" s="11" t="s">
        <v>53</v>
      </c>
      <c r="R7" s="11" t="s">
        <v>53</v>
      </c>
      <c r="S7" s="11" t="s">
        <v>53</v>
      </c>
      <c r="T7" s="11" t="s">
        <v>68</v>
      </c>
    </row>
    <row r="8" ht="16.5" spans="1:20">
      <c r="A8" s="4">
        <f t="shared" si="0"/>
        <v>4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ht="16.5" spans="1:20">
      <c r="A9" s="4">
        <f t="shared" si="0"/>
        <v>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ht="16.5" spans="1:20">
      <c r="A10" s="4">
        <f t="shared" si="0"/>
        <v>6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ht="16.5" spans="1:20">
      <c r="A11" s="4">
        <f t="shared" si="0"/>
        <v>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ht="16.5" spans="1:20">
      <c r="A12" s="4">
        <f t="shared" si="0"/>
        <v>8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6.5" spans="1:20">
      <c r="A13" s="4">
        <f t="shared" si="0"/>
        <v>9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6.5" spans="1:20">
      <c r="A14" s="4">
        <f t="shared" si="0"/>
        <v>10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ht="16.5" spans="1:20">
      <c r="A15" s="4">
        <f t="shared" si="0"/>
        <v>11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ht="16.5" spans="1:20">
      <c r="A16" s="4">
        <f t="shared" si="0"/>
        <v>12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ht="16.5" spans="1:20">
      <c r="A17" s="4">
        <f t="shared" si="0"/>
        <v>13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ht="16.5" spans="1:20">
      <c r="A18" s="4">
        <f t="shared" si="0"/>
        <v>14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16.5" spans="1:20">
      <c r="A19" s="4">
        <f t="shared" si="0"/>
        <v>15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ht="16.5" spans="1:20">
      <c r="A20" s="4">
        <f t="shared" si="0"/>
        <v>16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ht="16.5" spans="1:20">
      <c r="A21" s="4">
        <f t="shared" si="0"/>
        <v>17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ht="16.5" spans="1:20">
      <c r="A22" s="4">
        <f t="shared" si="0"/>
        <v>18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ht="16.5" spans="1:20">
      <c r="A23" s="4">
        <f t="shared" si="0"/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ht="16.5" spans="1:20">
      <c r="A24" s="4">
        <f t="shared" si="0"/>
        <v>20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ht="16.5" spans="1:20">
      <c r="A25" s="4">
        <f t="shared" si="0"/>
        <v>21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ht="16.5" spans="1:20">
      <c r="A26" s="4">
        <f t="shared" si="0"/>
        <v>22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ht="16.5" spans="1:20">
      <c r="A27" s="4">
        <f t="shared" si="0"/>
        <v>23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ht="16.5" spans="1:20">
      <c r="A28" s="4">
        <f t="shared" si="0"/>
        <v>24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ht="16.5" spans="1:20">
      <c r="A29" s="4">
        <f t="shared" si="0"/>
        <v>25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ht="16.5" spans="1:20">
      <c r="A30" s="4">
        <f t="shared" si="0"/>
        <v>26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ht="16.5" spans="1:20">
      <c r="A31" s="4">
        <f t="shared" si="0"/>
        <v>27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ht="16.5" spans="1:20">
      <c r="A32" s="4">
        <f t="shared" si="0"/>
        <v>28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ht="16.5" spans="1:20">
      <c r="A33" s="4">
        <f t="shared" si="0"/>
        <v>29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ht="16.5" spans="1:20">
      <c r="A34" s="4">
        <f t="shared" si="0"/>
        <v>30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ht="16.5" spans="1:20">
      <c r="A35" s="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ht="16.5" spans="1:20">
      <c r="A36" s="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ht="16.5" spans="1:20">
      <c r="A37" s="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ht="16.5" spans="1:20">
      <c r="A38" s="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ht="16.5" spans="1:20">
      <c r="A39" s="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ht="16.5" spans="1:20">
      <c r="A40" s="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ht="16.5" spans="1:20">
      <c r="A41" s="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ht="16.5" spans="1:20">
      <c r="A42" s="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ht="16.5" spans="1:20">
      <c r="A43" s="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ht="16.5" spans="1:20">
      <c r="A44" s="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ht="16.5" spans="1:20">
      <c r="A45" s="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ht="16.5" spans="1:20">
      <c r="A46" s="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ht="16.5" spans="1:20">
      <c r="A47" s="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ht="16.5" spans="1:20">
      <c r="A48" s="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ht="16.5" spans="1:20">
      <c r="A49" s="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ht="16.5" spans="1:20">
      <c r="A50" s="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ht="16.5" spans="1:20">
      <c r="A51" s="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ht="16.5" spans="1:20">
      <c r="A52" s="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ht="16.5" spans="1:20">
      <c r="A53" s="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ht="16.5" spans="1:20">
      <c r="A54" s="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ht="16.5" spans="1:20">
      <c r="A55" s="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ht="16.5" spans="1:20">
      <c r="A56" s="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ht="16.5" spans="1:20">
      <c r="A57" s="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ht="16.5" spans="1:20">
      <c r="A58" s="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ht="16.5" spans="1:20">
      <c r="A59" s="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ht="16.5" spans="1:20">
      <c r="A60" s="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ht="16.5" spans="1:20">
      <c r="A61" s="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ht="16.5" spans="1:20">
      <c r="A62" s="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ht="16.5" spans="1:20">
      <c r="A63" s="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ht="16.5" spans="1:20">
      <c r="A64" s="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ht="16.5" spans="1:20">
      <c r="A65" s="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ht="16.5" spans="1:20">
      <c r="A66" s="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ht="16.5" spans="1:20">
      <c r="A67" s="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ht="16.5" spans="1:20">
      <c r="A68" s="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ht="16.5" spans="1:20">
      <c r="A69" s="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ht="16.5" spans="1:20">
      <c r="A70" s="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ht="16.5" spans="1:20">
      <c r="A71" s="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ht="16.5" spans="1:20">
      <c r="A72" s="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ht="16.5" spans="1:20">
      <c r="A73" s="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ht="16.5" spans="1:20">
      <c r="A74" s="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ht="16.5" spans="1:20">
      <c r="A75" s="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ht="16.5" spans="1:20">
      <c r="A76" s="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ht="16.5" spans="1:20">
      <c r="A77" s="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ht="16.5" spans="1:20">
      <c r="A78" s="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ht="16.5" spans="1:20">
      <c r="A79" s="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ht="16.5" spans="1:20">
      <c r="A80" s="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ht="16.5" spans="1:20">
      <c r="A81" s="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ht="16.5" spans="1:20">
      <c r="A82" s="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ht="16.5" spans="1:20">
      <c r="A83" s="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ht="16.5" spans="1:20">
      <c r="A84" s="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ht="16.5" spans="1:20">
      <c r="A85" s="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ht="16.5" spans="1:20">
      <c r="A86" s="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ht="16.5" spans="1:20">
      <c r="A87" s="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ht="16.5" spans="1:20">
      <c r="A88" s="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ht="16.5" spans="1:20">
      <c r="A89" s="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ht="16.5" spans="1:20">
      <c r="A90" s="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ht="16.5" spans="1:20">
      <c r="A91" s="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ht="16.5" spans="1:20">
      <c r="A92" s="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ht="16.5" spans="1:20">
      <c r="A93" s="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ht="16.5" spans="1:20">
      <c r="A94" s="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ht="16.5" spans="1:20">
      <c r="A95" s="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ht="16.5" spans="1:20">
      <c r="A96" s="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ht="16.5" spans="1:20">
      <c r="A97" s="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ht="16.5" spans="1:20">
      <c r="A98" s="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ht="16.5" spans="1:20">
      <c r="A99" s="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ht="16.5" spans="1:20">
      <c r="A100" s="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ht="16.5" spans="1:20">
      <c r="A101" s="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ht="16.5" spans="1:20">
      <c r="A102" s="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ht="16.5" spans="1:20">
      <c r="A103" s="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ht="16.5" spans="1:20">
      <c r="A104" s="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ht="16.5" spans="1:20">
      <c r="A105" s="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ht="16.5" spans="1:20">
      <c r="A106" s="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ht="16.5" spans="1:20">
      <c r="A107" s="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ht="16.5" spans="1:20">
      <c r="A108" s="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ht="16.5" spans="1:20">
      <c r="A109" s="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ht="16.5" spans="1:20">
      <c r="A110" s="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ht="16.5" spans="1:20">
      <c r="A111" s="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ht="16.5" spans="1:20">
      <c r="A112" s="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ht="16.5" spans="1:20">
      <c r="A113" s="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ht="16.5" spans="1:20">
      <c r="A114" s="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ht="16.5" spans="1:20">
      <c r="A115" s="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ht="16.5" spans="1:20">
      <c r="A116" s="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ht="16.5" spans="1:20">
      <c r="A117" s="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ht="16.5" spans="1:20">
      <c r="A118" s="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ht="16.5" spans="1:20">
      <c r="A119" s="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ht="16.5" spans="1:20">
      <c r="A120" s="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ht="16.5" spans="1:20">
      <c r="A121" s="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ht="16.5" spans="1:20">
      <c r="A122" s="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ht="16.5" spans="1:20">
      <c r="A123" s="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ht="16.5" spans="1:20">
      <c r="A124" s="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ht="16.5" spans="1:20">
      <c r="A125" s="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ht="16.5" spans="1:20">
      <c r="A126" s="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ht="16.5" spans="1:20">
      <c r="A127" s="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ht="16.5" spans="1:20">
      <c r="A128" s="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ht="16.5" spans="1:20">
      <c r="A129" s="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ht="16.5" spans="1:20">
      <c r="A130" s="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ht="16.5" spans="1:20">
      <c r="A131" s="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ht="16.5" spans="1:20">
      <c r="A132" s="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ht="16.5" spans="1:20">
      <c r="A133" s="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ht="16.5" spans="1:20">
      <c r="A134" s="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ht="16.5" spans="1:20">
      <c r="A135" s="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ht="16.5" spans="1:20">
      <c r="A136" s="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ht="16.5" spans="1:20">
      <c r="A137" s="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ht="16.5" spans="1:20">
      <c r="A138" s="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ht="16.5" spans="1:20">
      <c r="A139" s="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ht="16.5" spans="1:20">
      <c r="A140" s="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ht="16.5" spans="1:20">
      <c r="A141" s="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ht="16.5" spans="1:20">
      <c r="A142" s="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ht="16.5" spans="1:20">
      <c r="A143" s="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ht="16.5" spans="1:20">
      <c r="A144" s="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ht="16.5" spans="1:20">
      <c r="A145" s="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ht="16.5" spans="1:20">
      <c r="A146" s="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ht="16.5" spans="1:20">
      <c r="A147" s="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ht="16.5" spans="1:20">
      <c r="A148" s="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ht="16.5" spans="1:20">
      <c r="A149" s="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ht="16.5" spans="1:20">
      <c r="A150" s="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ht="16.5" spans="1:20">
      <c r="A151" s="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ht="16.5" spans="1:20">
      <c r="A152" s="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ht="16.5" spans="1:20">
      <c r="A153" s="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ht="16.5" spans="1:20">
      <c r="A154" s="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ht="16.5" spans="1:20">
      <c r="A155" s="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ht="16.5" spans="1:20">
      <c r="A156" s="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ht="16.5" spans="1:20">
      <c r="A157" s="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ht="16.5" spans="1:20">
      <c r="A158" s="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ht="16.5" spans="1:20">
      <c r="A159" s="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ht="16.5" spans="1:20">
      <c r="A160" s="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ht="16.5" spans="1:20">
      <c r="A161" s="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ht="16.5" spans="1:20">
      <c r="A162" s="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ht="16.5" spans="1:20">
      <c r="A163" s="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ht="16.5" spans="1:20">
      <c r="A164" s="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ht="16.5" spans="1:20">
      <c r="A165" s="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ht="16.5" spans="1:20">
      <c r="A166" s="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ht="16.5" spans="1:20">
      <c r="A167" s="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ht="16.5" spans="1:20">
      <c r="A168" s="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ht="16.5" spans="1:20">
      <c r="A169" s="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ht="16.5" spans="1:20">
      <c r="A170" s="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ht="16.5" spans="1:20">
      <c r="A171" s="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ht="16.5" spans="1:20">
      <c r="A172" s="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ht="16.5" spans="1:20">
      <c r="A173" s="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ht="16.5" spans="1:20">
      <c r="A174" s="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ht="16.5" spans="1:20">
      <c r="A175" s="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ht="16.5" spans="1:20">
      <c r="A176" s="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ht="16.5" spans="1:20">
      <c r="A177" s="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ht="16.5" spans="1:20">
      <c r="A178" s="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ht="16.5" spans="1:20">
      <c r="A179" s="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ht="16.5" spans="1:20">
      <c r="A180" s="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ht="16.5" spans="1:20">
      <c r="A181" s="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ht="16.5" spans="1:20">
      <c r="A182" s="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ht="16.5" spans="1:20">
      <c r="A183" s="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ht="16.5" spans="1:20">
      <c r="A184" s="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ht="16.5" spans="1:20">
      <c r="A185" s="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ht="16.5" spans="1:20">
      <c r="A186" s="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ht="16.5" spans="1:20">
      <c r="A187" s="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ht="16.5" spans="1:20">
      <c r="A188" s="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ht="16.5" spans="1:20">
      <c r="A189" s="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ht="16.5" spans="1:20">
      <c r="A190" s="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ht="16.5" spans="1:20">
      <c r="A191" s="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ht="16.5" spans="1:20">
      <c r="A192" s="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ht="16.5" spans="1:20">
      <c r="A193" s="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ht="16.5" spans="1:20">
      <c r="A194" s="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ht="16.5" spans="1:20">
      <c r="A195" s="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ht="16.5" spans="1:20">
      <c r="A196" s="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ht="16.5" spans="1:20">
      <c r="A197" s="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ht="16.5" spans="1:20">
      <c r="A198" s="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ht="16.5" spans="1:20">
      <c r="A199" s="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ht="16.5" spans="1:20">
      <c r="A200" s="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</sheetData>
  <autoFilter xmlns:etc="http://www.wps.cn/officeDocument/2017/etCustomData" ref="A4:T200" etc:filterBottomFollowUsedRange="0">
    <extLst/>
  </autoFilter>
  <mergeCells count="3">
    <mergeCell ref="A1:T1"/>
    <mergeCell ref="A2:T2"/>
    <mergeCell ref="A3:T3"/>
  </mergeCells>
  <conditionalFormatting sqref="C5:C200">
    <cfRule type="cellIs" dxfId="0" priority="1" operator="equal">
      <formula>"严重"</formula>
    </cfRule>
    <cfRule type="cellIs" dxfId="1" priority="2" operator="equal">
      <formula>"一般"</formula>
    </cfRule>
    <cfRule type="cellIs" dxfId="2" priority="3" operator="equal">
      <formula>"轻微"</formula>
    </cfRule>
  </conditionalFormatting>
  <conditionalFormatting sqref="O5:O200">
    <cfRule type="cellIs" dxfId="2" priority="4" operator="equal">
      <formula>"已关闭"</formula>
    </cfRule>
    <cfRule type="cellIs" dxfId="1" priority="5" operator="equal">
      <formula>"待验证"</formula>
    </cfRule>
  </conditionalFormatting>
  <dataValidations count="4">
    <dataValidation type="list" allowBlank="1" promptTitle="请选择" prompt="问题分类" sqref="B5:B200">
      <formula1>"机械结构,电气系统,软件算法,制造工艺,物料质量,安全法规,其他"</formula1>
    </dataValidation>
    <dataValidation type="list" allowBlank="1" promptTitle="请选择" prompt="问题等级" sqref="C5:C200">
      <formula1>"严重,一般,轻微"</formula1>
    </dataValidation>
    <dataValidation type="list" allowBlank="1" promptTitle="请选择" prompt="整改状态" sqref="O5:O200">
      <formula1>"待整改,整改中,待验证,已关闭,放弃"</formula1>
    </dataValidation>
    <dataValidation type="list" allowBlank="1" promptTitle="请选择" prompt="验证结果" sqref="Q5:Q200">
      <formula1>"通过,不通过"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pane ySplit="2" topLeftCell="A3" activePane="bottomLeft" state="frozen"/>
      <selection/>
      <selection pane="bottomLeft" activeCell="A1" sqref="A1:G1"/>
    </sheetView>
  </sheetViews>
  <sheetFormatPr defaultColWidth="9" defaultRowHeight="13.5" outlineLevelCol="6"/>
  <cols>
    <col min="1" max="1" width="12" customWidth="1"/>
    <col min="2" max="7" width="10" customWidth="1"/>
  </cols>
  <sheetData>
    <row r="1" ht="30" customHeight="1" spans="1:7">
      <c r="A1" s="1" t="s">
        <v>69</v>
      </c>
    </row>
    <row r="2" ht="24" customHeight="1" spans="1:7">
      <c r="A2" s="2" t="s">
        <v>4</v>
      </c>
      <c r="B2" s="2" t="s">
        <v>70</v>
      </c>
      <c r="C2" s="2" t="s">
        <v>36</v>
      </c>
      <c r="D2" s="2" t="s">
        <v>54</v>
      </c>
      <c r="E2" s="2" t="s">
        <v>67</v>
      </c>
      <c r="F2" s="2" t="s">
        <v>71</v>
      </c>
      <c r="G2" s="2" t="s">
        <v>72</v>
      </c>
    </row>
    <row r="3" ht="16.5" spans="1:7">
      <c r="A3" s="3" t="s">
        <v>23</v>
      </c>
      <c r="B3" s="4">
        <f>COUNTIF(问题台账!$B$5:$B$200,A3)</f>
        <v>1</v>
      </c>
      <c r="C3" s="4">
        <f>COUNTIFS(问题台账!$B$5:$B$200,A3,问题台账!$O$5:$O$200,"已关闭")</f>
        <v>1</v>
      </c>
      <c r="D3" s="4">
        <f>COUNTIFS(问题台账!$B$5:$B$200,A3,问题台账!$O$5:$O$200,"待验证")</f>
        <v>0</v>
      </c>
      <c r="E3" s="4">
        <f>COUNTIFS(问题台账!$B$5:$B$200,A3,问题台账!$O$5:$O$200,"整改中")</f>
        <v>0</v>
      </c>
      <c r="F3" s="4">
        <f>COUNTIFS(问题台账!$B$5:$B$200,A3,问题台账!$O$5:$O$200,"待整改")</f>
        <v>0</v>
      </c>
      <c r="G3" s="5">
        <f t="shared" ref="G3:G10" si="0">IF(B3=0,"",C3/B3)</f>
        <v>1</v>
      </c>
    </row>
    <row r="4" ht="16.5" spans="1:7">
      <c r="A4" s="3" t="s">
        <v>42</v>
      </c>
      <c r="B4" s="4">
        <f>COUNTIF(问题台账!$B$5:$B$200,A4)</f>
        <v>1</v>
      </c>
      <c r="C4" s="4">
        <f>COUNTIFS(问题台账!$B$5:$B$200,A4,问题台账!$O$5:$O$200,"已关闭")</f>
        <v>0</v>
      </c>
      <c r="D4" s="4">
        <f>COUNTIFS(问题台账!$B$5:$B$200,A4,问题台账!$O$5:$O$200,"待验证")</f>
        <v>1</v>
      </c>
      <c r="E4" s="4">
        <f>COUNTIFS(问题台账!$B$5:$B$200,A4,问题台账!$O$5:$O$200,"整改中")</f>
        <v>0</v>
      </c>
      <c r="F4" s="4">
        <f>COUNTIFS(问题台账!$B$5:$B$200,A4,问题台账!$O$5:$O$200,"待整改")</f>
        <v>0</v>
      </c>
      <c r="G4" s="5">
        <f t="shared" si="0"/>
        <v>0</v>
      </c>
    </row>
    <row r="5" ht="16.5" spans="1:7">
      <c r="A5" s="3" t="s">
        <v>57</v>
      </c>
      <c r="B5" s="4">
        <f>COUNTIF(问题台账!$B$5:$B$200,A5)</f>
        <v>1</v>
      </c>
      <c r="C5" s="4">
        <f>COUNTIFS(问题台账!$B$5:$B$200,A5,问题台账!$O$5:$O$200,"已关闭")</f>
        <v>0</v>
      </c>
      <c r="D5" s="4">
        <f>COUNTIFS(问题台账!$B$5:$B$200,A5,问题台账!$O$5:$O$200,"待验证")</f>
        <v>0</v>
      </c>
      <c r="E5" s="4">
        <f>COUNTIFS(问题台账!$B$5:$B$200,A5,问题台账!$O$5:$O$200,"整改中")</f>
        <v>1</v>
      </c>
      <c r="F5" s="4">
        <f>COUNTIFS(问题台账!$B$5:$B$200,A5,问题台账!$O$5:$O$200,"待整改")</f>
        <v>0</v>
      </c>
      <c r="G5" s="5">
        <f t="shared" si="0"/>
        <v>0</v>
      </c>
    </row>
    <row r="6" ht="16.5" spans="1:7">
      <c r="A6" s="3" t="s">
        <v>73</v>
      </c>
      <c r="B6" s="4">
        <f>COUNTIF(问题台账!$B$5:$B$200,A6)</f>
        <v>0</v>
      </c>
      <c r="C6" s="4">
        <f>COUNTIFS(问题台账!$B$5:$B$200,A6,问题台账!$O$5:$O$200,"已关闭")</f>
        <v>0</v>
      </c>
      <c r="D6" s="4">
        <f>COUNTIFS(问题台账!$B$5:$B$200,A6,问题台账!$O$5:$O$200,"待验证")</f>
        <v>0</v>
      </c>
      <c r="E6" s="4">
        <f>COUNTIFS(问题台账!$B$5:$B$200,A6,问题台账!$O$5:$O$200,"整改中")</f>
        <v>0</v>
      </c>
      <c r="F6" s="4">
        <f>COUNTIFS(问题台账!$B$5:$B$200,A6,问题台账!$O$5:$O$200,"待整改")</f>
        <v>0</v>
      </c>
      <c r="G6" s="5" t="str">
        <f t="shared" si="0"/>
        <v/>
      </c>
    </row>
    <row r="7" ht="16.5" spans="1:7">
      <c r="A7" s="3" t="s">
        <v>74</v>
      </c>
      <c r="B7" s="4">
        <f>COUNTIF(问题台账!$B$5:$B$200,A7)</f>
        <v>0</v>
      </c>
      <c r="C7" s="4">
        <f>COUNTIFS(问题台账!$B$5:$B$200,A7,问题台账!$O$5:$O$200,"已关闭")</f>
        <v>0</v>
      </c>
      <c r="D7" s="4">
        <f>COUNTIFS(问题台账!$B$5:$B$200,A7,问题台账!$O$5:$O$200,"待验证")</f>
        <v>0</v>
      </c>
      <c r="E7" s="4">
        <f>COUNTIFS(问题台账!$B$5:$B$200,A7,问题台账!$O$5:$O$200,"整改中")</f>
        <v>0</v>
      </c>
      <c r="F7" s="4">
        <f>COUNTIFS(问题台账!$B$5:$B$200,A7,问题台账!$O$5:$O$200,"待整改")</f>
        <v>0</v>
      </c>
      <c r="G7" s="5" t="str">
        <f t="shared" si="0"/>
        <v/>
      </c>
    </row>
    <row r="8" ht="16.5" spans="1:7">
      <c r="A8" s="3" t="s">
        <v>75</v>
      </c>
      <c r="B8" s="4">
        <f>COUNTIF(问题台账!$B$5:$B$200,A8)</f>
        <v>0</v>
      </c>
      <c r="C8" s="4">
        <f>COUNTIFS(问题台账!$B$5:$B$200,A8,问题台账!$O$5:$O$200,"已关闭")</f>
        <v>0</v>
      </c>
      <c r="D8" s="4">
        <f>COUNTIFS(问题台账!$B$5:$B$200,A8,问题台账!$O$5:$O$200,"待验证")</f>
        <v>0</v>
      </c>
      <c r="E8" s="4">
        <f>COUNTIFS(问题台账!$B$5:$B$200,A8,问题台账!$O$5:$O$200,"整改中")</f>
        <v>0</v>
      </c>
      <c r="F8" s="4">
        <f>COUNTIFS(问题台账!$B$5:$B$200,A8,问题台账!$O$5:$O$200,"待整改")</f>
        <v>0</v>
      </c>
      <c r="G8" s="5" t="str">
        <f t="shared" si="0"/>
        <v/>
      </c>
    </row>
    <row r="9" ht="16.5" spans="1:7">
      <c r="A9" s="3" t="s">
        <v>76</v>
      </c>
      <c r="B9" s="4">
        <f>COUNTIF(问题台账!$B$5:$B$200,A9)</f>
        <v>0</v>
      </c>
      <c r="C9" s="4">
        <f>COUNTIFS(问题台账!$B$5:$B$200,A9,问题台账!$O$5:$O$200,"已关闭")</f>
        <v>0</v>
      </c>
      <c r="D9" s="4">
        <f>COUNTIFS(问题台账!$B$5:$B$200,A9,问题台账!$O$5:$O$200,"待验证")</f>
        <v>0</v>
      </c>
      <c r="E9" s="4">
        <f>COUNTIFS(问题台账!$B$5:$B$200,A9,问题台账!$O$5:$O$200,"整改中")</f>
        <v>0</v>
      </c>
      <c r="F9" s="4">
        <f>COUNTIFS(问题台账!$B$5:$B$200,A9,问题台账!$O$5:$O$200,"待整改")</f>
        <v>0</v>
      </c>
      <c r="G9" s="5" t="str">
        <f t="shared" si="0"/>
        <v/>
      </c>
    </row>
    <row r="10" ht="16.5" spans="1:7">
      <c r="A10" s="6" t="s">
        <v>77</v>
      </c>
      <c r="B10" s="7">
        <f>SUM(B3:B9)</f>
        <v>3</v>
      </c>
      <c r="C10" s="7">
        <f>SUM(C3:C9)</f>
        <v>1</v>
      </c>
      <c r="D10" s="7">
        <f>SUM(D3:D9)</f>
        <v>1</v>
      </c>
      <c r="E10" s="7">
        <f>SUM(E3:E9)</f>
        <v>1</v>
      </c>
      <c r="F10" s="7">
        <f>SUM(F3:F9)</f>
        <v>0</v>
      </c>
      <c r="G10" s="8">
        <f t="shared" si="0"/>
        <v>0.333333333333333</v>
      </c>
    </row>
  </sheetData>
  <mergeCells count="1">
    <mergeCell ref="A1:G1"/>
  </mergeCells>
  <conditionalFormatting sqref="G3:G10">
    <cfRule type="cellIs" dxfId="3" priority="1" operator="greaterThanOrEqual">
      <formula>0.9</formula>
    </cfRule>
    <cfRule type="cellIs" dxfId="4" priority="2" operator="lessThan">
      <formula>0.5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问题台账</vt:lpstr>
      <vt:lpstr>分类统计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錢錢</cp:lastModifiedBy>
  <dcterms:created xsi:type="dcterms:W3CDTF">2026-08-20T02:32:00Z</dcterms:created>
  <dcterms:modified xsi:type="dcterms:W3CDTF">2026-08-20T02:36:51Z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3A75ADEDA3F146A896BAF5218EA65D57_12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